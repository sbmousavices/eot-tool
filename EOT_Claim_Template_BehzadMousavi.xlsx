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Business\درآمد پیشنهادی چت جی پی تی\"/>
    </mc:Choice>
  </mc:AlternateContent>
  <xr:revisionPtr revIDLastSave="0" documentId="13_ncr:1_{30D8716E-780B-4314-A018-43B41F19B7D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shboard" sheetId="2" r:id="rId1"/>
    <sheet name="Delay Events" sheetId="3" r:id="rId2"/>
    <sheet name="Program Snapshot" sheetId="4" r:id="rId3"/>
    <sheet name="Claim Summary" sheetId="5" r:id="rId4"/>
    <sheet name="User Guide" sheetId="6" r:id="rId5"/>
  </sheets>
  <externalReferences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A20" i="2"/>
  <c r="A19" i="2"/>
  <c r="A18" i="2"/>
  <c r="A17" i="2"/>
  <c r="A16" i="2"/>
  <c r="A15" i="2"/>
  <c r="A14" i="2"/>
  <c r="A13" i="2"/>
  <c r="B4" i="5"/>
  <c r="B7" i="5" l="1"/>
  <c r="B3" i="5"/>
  <c r="D6" i="4"/>
  <c r="D5" i="4"/>
  <c r="D4" i="4"/>
  <c r="D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B10" i="2"/>
  <c r="B6" i="2"/>
</calcChain>
</file>

<file path=xl/sharedStrings.xml><?xml version="1.0" encoding="utf-8"?>
<sst xmlns="http://schemas.openxmlformats.org/spreadsheetml/2006/main" count="57" uniqueCount="56">
  <si>
    <t>EOT Claim Report – Industrial Projects</t>
  </si>
  <si>
    <t>Prepared by: Behzad Mousavi | M.Sc. Industrial Engineering | Project Controls Specialist</t>
  </si>
  <si>
    <t>Project Name:</t>
  </si>
  <si>
    <t>Contractor:</t>
  </si>
  <si>
    <t>Report Date:</t>
  </si>
  <si>
    <t>Your Project Name</t>
  </si>
  <si>
    <t>Your Company Name</t>
  </si>
  <si>
    <t>Planned Project Duration (Days):</t>
  </si>
  <si>
    <t>Your Project Duration</t>
  </si>
  <si>
    <t>Original Completion Date:</t>
  </si>
  <si>
    <t>Forecasted Completion Date:</t>
  </si>
  <si>
    <t>Start Date</t>
  </si>
  <si>
    <t>End Date</t>
  </si>
  <si>
    <t>Delay Reason</t>
  </si>
  <si>
    <t>Category</t>
  </si>
  <si>
    <t>Supporting Docs</t>
  </si>
  <si>
    <t>Delay in Employer’s Approval of P&amp;ID</t>
  </si>
  <si>
    <t>Employer Risk</t>
  </si>
  <si>
    <t>Letter Ref: EMP-2025-031</t>
  </si>
  <si>
    <t>Delay in Equipment Delivery due to Sanctions</t>
  </si>
  <si>
    <t>Force Majeure / External</t>
  </si>
  <si>
    <t>Vendor PO #V2025-889</t>
  </si>
  <si>
    <t>Unforeseen Site Conditions (Soil)</t>
  </si>
  <si>
    <t>Employer Risk (FIDIC 4.12)</t>
  </si>
  <si>
    <t>Geotech Report GR-2025-07</t>
  </si>
  <si>
    <t>Activity</t>
  </si>
  <si>
    <t>Baseline Finish</t>
  </si>
  <si>
    <t>Forecast Finish</t>
  </si>
  <si>
    <t>Variance</t>
  </si>
  <si>
    <t>Engineering Design</t>
  </si>
  <si>
    <t>30-Apr-2025</t>
  </si>
  <si>
    <t>15-May-2025</t>
  </si>
  <si>
    <t>Equipment Procurement</t>
  </si>
  <si>
    <t>30-Jul-2025</t>
  </si>
  <si>
    <t>10-Sep-2025</t>
  </si>
  <si>
    <t>Mechanical Installation</t>
  </si>
  <si>
    <t>30-Oct-2025</t>
  </si>
  <si>
    <t>20-Nov-2025</t>
  </si>
  <si>
    <t>Pre-Commissioning</t>
  </si>
  <si>
    <t>30-Nov-2025</t>
  </si>
  <si>
    <t>15-Dec-2025</t>
  </si>
  <si>
    <t>Final Handover</t>
  </si>
  <si>
    <t>08-Jan-2026</t>
  </si>
  <si>
    <t>EOT Claim Summary</t>
  </si>
  <si>
    <t>Total Delay Days Requested:</t>
  </si>
  <si>
    <t>Recommended Extension of Time:</t>
  </si>
  <si>
    <t>Submitted by:</t>
  </si>
  <si>
    <t>Behzad Mousavi – Project Controls Consultant</t>
  </si>
  <si>
    <t>Date:</t>
  </si>
  <si>
    <t>Contact: sbmousavi.planning@gmail.com</t>
  </si>
  <si>
    <t>Payment: USDT (TRC-20) accepted for full version</t>
  </si>
  <si>
    <t xml:space="preserve">This template is based on real EPC project experience in oil &amp; gas. </t>
  </si>
  <si>
    <t>Full version includes automated logic, formatting, and professional layout</t>
  </si>
  <si>
    <t>Duration
(Days)</t>
  </si>
  <si>
    <t>Row</t>
  </si>
  <si>
    <t>Change the cells that are highlighted in red according to your project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</si>
</sst>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0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0"/>
      <name val="Times New Roman"/>
      <family val="1"/>
    </font>
    <font>
      <sz val="10"/>
      <color theme="2" tint="-0.249977111117893"/>
      <name val="Times New Roman"/>
      <family val="1"/>
    </font>
    <font>
      <sz val="12"/>
      <color rgb="FFC00000"/>
      <name val="Times New Roman"/>
      <family val="1"/>
    </font>
    <font>
      <sz val="12"/>
      <name val="Times New Roman"/>
      <family val="1"/>
    </font>
    <font>
      <b/>
      <sz val="18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104775</xdr:rowOff>
    </xdr:from>
    <xdr:to>
      <xdr:col>4</xdr:col>
      <xdr:colOff>571500</xdr:colOff>
      <xdr:row>10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CCD1EF9-5582-4BBB-AF4C-A101C9B42EC3}"/>
            </a:ext>
          </a:extLst>
        </xdr:cNvPr>
        <xdr:cNvCxnSpPr/>
      </xdr:nvCxnSpPr>
      <xdr:spPr>
        <a:xfrm>
          <a:off x="57150" y="2571750"/>
          <a:ext cx="6172200" cy="0"/>
        </a:xfrm>
        <a:prstGeom prst="line">
          <a:avLst/>
        </a:prstGeom>
        <a:ln w="3810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lay%20Ev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Delay Events"/>
      <sheetName val="Program Snapshot"/>
      <sheetName val="Claim Summary"/>
    </sheetNames>
    <sheetDataSet>
      <sheetData sheetId="0"/>
      <sheetData sheetId="1">
        <row r="2">
          <cell r="D2">
            <v>16</v>
          </cell>
          <cell r="E2" t="str">
            <v>Delay in Employer’s Approval of P&amp;ID</v>
          </cell>
        </row>
        <row r="3">
          <cell r="D3">
            <v>10</v>
          </cell>
          <cell r="E3" t="str">
            <v>Delay in Equipment Delivery due to Sanctions</v>
          </cell>
        </row>
        <row r="4">
          <cell r="D4">
            <v>17</v>
          </cell>
          <cell r="E4" t="str">
            <v>Unforeseen Site Conditions (Soil)</v>
          </cell>
        </row>
        <row r="5">
          <cell r="D5" t="str">
            <v/>
          </cell>
          <cell r="E5"/>
        </row>
        <row r="6">
          <cell r="D6" t="str">
            <v/>
          </cell>
          <cell r="E6"/>
        </row>
        <row r="7">
          <cell r="D7" t="str">
            <v/>
          </cell>
          <cell r="E7"/>
        </row>
        <row r="8">
          <cell r="D8" t="str">
            <v/>
          </cell>
          <cell r="E8"/>
        </row>
        <row r="9">
          <cell r="D9" t="str">
            <v/>
          </cell>
          <cell r="E9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66F6-20D2-4334-8EEA-146A301DC231}">
  <dimension ref="A1:B20"/>
  <sheetViews>
    <sheetView tabSelected="1" workbookViewId="0">
      <selection activeCell="B20" sqref="B20"/>
    </sheetView>
  </sheetViews>
  <sheetFormatPr defaultRowHeight="15" x14ac:dyDescent="0.25"/>
  <cols>
    <col min="1" max="1" width="40.42578125" style="1" bestFit="1" customWidth="1"/>
    <col min="2" max="2" width="47.5703125" style="1" customWidth="1"/>
    <col min="3" max="16384" width="9.140625" style="3"/>
  </cols>
  <sheetData>
    <row r="1" spans="1:2" ht="22.5" x14ac:dyDescent="0.25">
      <c r="A1" s="10" t="s">
        <v>0</v>
      </c>
      <c r="B1" s="10"/>
    </row>
    <row r="2" spans="1:2" x14ac:dyDescent="0.25">
      <c r="A2" s="11" t="s">
        <v>1</v>
      </c>
      <c r="B2" s="11"/>
    </row>
    <row r="3" spans="1:2" ht="15.75" x14ac:dyDescent="0.25">
      <c r="A3" s="7"/>
      <c r="B3" s="7"/>
    </row>
    <row r="4" spans="1:2" ht="15.75" x14ac:dyDescent="0.25">
      <c r="A4" s="7" t="s">
        <v>2</v>
      </c>
      <c r="B4" s="12" t="s">
        <v>5</v>
      </c>
    </row>
    <row r="5" spans="1:2" ht="15.75" x14ac:dyDescent="0.25">
      <c r="A5" s="7" t="s">
        <v>3</v>
      </c>
      <c r="B5" s="12" t="s">
        <v>6</v>
      </c>
    </row>
    <row r="6" spans="1:2" ht="15.75" x14ac:dyDescent="0.25">
      <c r="A6" s="7" t="s">
        <v>4</v>
      </c>
      <c r="B6" s="16">
        <f ca="1">TODAY()</f>
        <v>46021</v>
      </c>
    </row>
    <row r="7" spans="1:2" ht="15.75" x14ac:dyDescent="0.25">
      <c r="A7" s="7"/>
      <c r="B7" s="7"/>
    </row>
    <row r="8" spans="1:2" ht="15.75" x14ac:dyDescent="0.25">
      <c r="A8" s="7" t="s">
        <v>7</v>
      </c>
      <c r="B8" s="12" t="s">
        <v>8</v>
      </c>
    </row>
    <row r="9" spans="1:2" ht="15.75" x14ac:dyDescent="0.25">
      <c r="A9" s="7" t="s">
        <v>9</v>
      </c>
      <c r="B9" s="17">
        <v>46020</v>
      </c>
    </row>
    <row r="10" spans="1:2" ht="15.75" x14ac:dyDescent="0.25">
      <c r="A10" s="7" t="s">
        <v>10</v>
      </c>
      <c r="B10" s="17">
        <f>B9+SUM('[1]Delay Events'!D2:D20)</f>
        <v>46020</v>
      </c>
    </row>
    <row r="11" spans="1:2" ht="15.75" x14ac:dyDescent="0.25">
      <c r="A11" s="7"/>
      <c r="B11" s="7"/>
    </row>
    <row r="12" spans="1:2" ht="15.75" x14ac:dyDescent="0.25">
      <c r="A12" s="7"/>
      <c r="B12" s="7"/>
    </row>
    <row r="13" spans="1:2" ht="15.75" x14ac:dyDescent="0.25">
      <c r="A13" s="18" t="str">
        <f>IF('[1]Delay Events'!E2&lt;&gt;"", '[1]Delay Events'!E2, "")</f>
        <v>Delay in Employer’s Approval of P&amp;ID</v>
      </c>
      <c r="B13" s="18">
        <f>IF('[1]Delay Events'!D2&lt;&gt;"", '[1]Delay Events'!D2, "")</f>
        <v>16</v>
      </c>
    </row>
    <row r="14" spans="1:2" ht="15.75" x14ac:dyDescent="0.25">
      <c r="A14" s="18" t="str">
        <f>IF('[1]Delay Events'!E3&lt;&gt;"", '[1]Delay Events'!E3, "")</f>
        <v>Delay in Equipment Delivery due to Sanctions</v>
      </c>
      <c r="B14" s="18">
        <f>IF('[1]Delay Events'!D3&lt;&gt;"", '[1]Delay Events'!D3, "")</f>
        <v>10</v>
      </c>
    </row>
    <row r="15" spans="1:2" ht="15.75" x14ac:dyDescent="0.25">
      <c r="A15" s="18" t="str">
        <f>IF('[1]Delay Events'!E4&lt;&gt;"", '[1]Delay Events'!E4, "")</f>
        <v>Unforeseen Site Conditions (Soil)</v>
      </c>
      <c r="B15" s="18">
        <f>IF('[1]Delay Events'!D4&lt;&gt;"", '[1]Delay Events'!D4, "")</f>
        <v>17</v>
      </c>
    </row>
    <row r="16" spans="1:2" ht="15.75" x14ac:dyDescent="0.25">
      <c r="A16" s="18" t="str">
        <f>IF('[1]Delay Events'!E5&lt;&gt;"", '[1]Delay Events'!E5, "")</f>
        <v/>
      </c>
      <c r="B16" s="18" t="str">
        <f>IF('[1]Delay Events'!D5&lt;&gt;"", '[1]Delay Events'!D5, "")</f>
        <v/>
      </c>
    </row>
    <row r="17" spans="1:2" ht="15.75" x14ac:dyDescent="0.25">
      <c r="A17" s="18" t="str">
        <f>IF('[1]Delay Events'!E6&lt;&gt;"", '[1]Delay Events'!E6, "")</f>
        <v/>
      </c>
      <c r="B17" s="18" t="str">
        <f>IF('[1]Delay Events'!D6&lt;&gt;"", '[1]Delay Events'!D6, "")</f>
        <v/>
      </c>
    </row>
    <row r="18" spans="1:2" ht="15.75" x14ac:dyDescent="0.25">
      <c r="A18" s="18" t="str">
        <f>IF('[1]Delay Events'!E7&lt;&gt;"", '[1]Delay Events'!E7, "")</f>
        <v/>
      </c>
      <c r="B18" s="18" t="str">
        <f>IF('[1]Delay Events'!D7&lt;&gt;"", '[1]Delay Events'!D7, "")</f>
        <v/>
      </c>
    </row>
    <row r="19" spans="1:2" ht="15.75" x14ac:dyDescent="0.25">
      <c r="A19" s="18" t="str">
        <f>IF('[1]Delay Events'!E8&lt;&gt;"", '[1]Delay Events'!E8, "")</f>
        <v/>
      </c>
      <c r="B19" s="18" t="str">
        <f>IF('[1]Delay Events'!D8&lt;&gt;"", '[1]Delay Events'!D8, "")</f>
        <v/>
      </c>
    </row>
    <row r="20" spans="1:2" ht="15.75" x14ac:dyDescent="0.25">
      <c r="A20" s="18" t="str">
        <f>IF('[1]Delay Events'!E9&lt;&gt;"", '[1]Delay Events'!E9, "")</f>
        <v/>
      </c>
      <c r="B20" s="18" t="str">
        <f>IF('[1]Delay Events'!D9&lt;&gt;"", '[1]Delay Events'!D9, "")</f>
        <v/>
      </c>
    </row>
  </sheetData>
  <mergeCells count="2">
    <mergeCell ref="A1:B1"/>
    <mergeCell ref="A2:B2"/>
  </mergeCells>
  <printOptions horizontalCentered="1"/>
  <pageMargins left="0.25" right="0.25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DCC6-0AD8-49DC-BA45-8775BF0A9445}">
  <dimension ref="A1:G21"/>
  <sheetViews>
    <sheetView showGridLines="0" zoomScaleNormal="100" workbookViewId="0">
      <selection activeCell="F13" sqref="F13"/>
    </sheetView>
  </sheetViews>
  <sheetFormatPr defaultColWidth="17.85546875" defaultRowHeight="15" x14ac:dyDescent="0.25"/>
  <cols>
    <col min="1" max="1" width="6.42578125" style="1" bestFit="1" customWidth="1"/>
    <col min="2" max="2" width="11.85546875" style="1" bestFit="1" customWidth="1"/>
    <col min="3" max="3" width="11.140625" style="1" bestFit="1" customWidth="1"/>
    <col min="4" max="4" width="12.42578125" style="1" customWidth="1"/>
    <col min="5" max="5" width="52.7109375" style="1" customWidth="1"/>
    <col min="6" max="6" width="28.28515625" style="1" customWidth="1"/>
    <col min="7" max="7" width="31.28515625" style="1" customWidth="1"/>
    <col min="8" max="16384" width="17.85546875" style="1"/>
  </cols>
  <sheetData>
    <row r="1" spans="1:7" ht="38.25" customHeight="1" x14ac:dyDescent="0.25">
      <c r="A1" s="2" t="s">
        <v>54</v>
      </c>
      <c r="B1" s="2" t="s">
        <v>11</v>
      </c>
      <c r="C1" s="2" t="s">
        <v>12</v>
      </c>
      <c r="D1" s="8" t="s">
        <v>53</v>
      </c>
      <c r="E1" s="2" t="s">
        <v>13</v>
      </c>
      <c r="F1" s="2" t="s">
        <v>14</v>
      </c>
      <c r="G1" s="2" t="s">
        <v>15</v>
      </c>
    </row>
    <row r="2" spans="1:7" ht="15" customHeight="1" x14ac:dyDescent="0.25">
      <c r="A2" s="7">
        <v>1</v>
      </c>
      <c r="B2" s="13">
        <v>45726</v>
      </c>
      <c r="C2" s="13">
        <v>45741</v>
      </c>
      <c r="D2" s="14">
        <f>IF(AND(B2&lt;&gt;"", C2&lt;&gt;""), C2 - B2 + 1, "")</f>
        <v>16</v>
      </c>
      <c r="E2" s="15" t="s">
        <v>16</v>
      </c>
      <c r="F2" s="12" t="s">
        <v>17</v>
      </c>
      <c r="G2" s="12" t="s">
        <v>18</v>
      </c>
    </row>
    <row r="3" spans="1:7" ht="15" customHeight="1" x14ac:dyDescent="0.25">
      <c r="A3" s="7">
        <v>2</v>
      </c>
      <c r="B3" s="13">
        <v>45809</v>
      </c>
      <c r="C3" s="13">
        <v>45818</v>
      </c>
      <c r="D3" s="14">
        <f t="shared" ref="D3:D20" si="0">IF(AND(B3&lt;&gt;"", C3&lt;&gt;""), C3 - B3 + 1, "")</f>
        <v>10</v>
      </c>
      <c r="E3" s="15" t="s">
        <v>19</v>
      </c>
      <c r="F3" s="12" t="s">
        <v>20</v>
      </c>
      <c r="G3" s="12" t="s">
        <v>21</v>
      </c>
    </row>
    <row r="4" spans="1:7" ht="15" customHeight="1" x14ac:dyDescent="0.25">
      <c r="A4" s="7">
        <v>3</v>
      </c>
      <c r="B4" s="13">
        <v>45889</v>
      </c>
      <c r="C4" s="13">
        <v>45905</v>
      </c>
      <c r="D4" s="14">
        <f t="shared" si="0"/>
        <v>17</v>
      </c>
      <c r="E4" s="15" t="s">
        <v>22</v>
      </c>
      <c r="F4" s="12" t="s">
        <v>23</v>
      </c>
      <c r="G4" s="12" t="s">
        <v>24</v>
      </c>
    </row>
    <row r="5" spans="1:7" ht="15" customHeight="1" x14ac:dyDescent="0.25">
      <c r="A5" s="7">
        <v>4</v>
      </c>
      <c r="B5" s="7"/>
      <c r="C5" s="7"/>
      <c r="D5" s="7" t="str">
        <f t="shared" si="0"/>
        <v/>
      </c>
      <c r="E5" s="9"/>
      <c r="F5" s="7"/>
      <c r="G5" s="7"/>
    </row>
    <row r="6" spans="1:7" ht="15" customHeight="1" x14ac:dyDescent="0.25">
      <c r="A6" s="7">
        <v>5</v>
      </c>
      <c r="B6" s="7"/>
      <c r="C6" s="7"/>
      <c r="D6" s="7" t="str">
        <f t="shared" si="0"/>
        <v/>
      </c>
      <c r="E6" s="9"/>
      <c r="F6" s="7"/>
      <c r="G6" s="7"/>
    </row>
    <row r="7" spans="1:7" ht="15" customHeight="1" x14ac:dyDescent="0.25">
      <c r="A7" s="7">
        <v>6</v>
      </c>
      <c r="B7" s="7"/>
      <c r="C7" s="7"/>
      <c r="D7" s="7" t="str">
        <f t="shared" si="0"/>
        <v/>
      </c>
      <c r="E7" s="9"/>
      <c r="F7" s="7"/>
      <c r="G7" s="7"/>
    </row>
    <row r="8" spans="1:7" ht="15" customHeight="1" x14ac:dyDescent="0.25">
      <c r="A8" s="7">
        <v>7</v>
      </c>
      <c r="B8" s="7"/>
      <c r="C8" s="7"/>
      <c r="D8" s="7" t="str">
        <f t="shared" si="0"/>
        <v/>
      </c>
      <c r="E8" s="9"/>
      <c r="F8" s="7"/>
      <c r="G8" s="7"/>
    </row>
    <row r="9" spans="1:7" ht="15" customHeight="1" x14ac:dyDescent="0.25">
      <c r="A9" s="7">
        <v>8</v>
      </c>
      <c r="B9" s="7"/>
      <c r="C9" s="7"/>
      <c r="D9" s="7" t="str">
        <f t="shared" si="0"/>
        <v/>
      </c>
      <c r="E9" s="9"/>
      <c r="F9" s="7"/>
      <c r="G9" s="7"/>
    </row>
    <row r="10" spans="1:7" ht="15" customHeight="1" x14ac:dyDescent="0.25">
      <c r="A10" s="7">
        <v>9</v>
      </c>
      <c r="B10" s="7"/>
      <c r="C10" s="7"/>
      <c r="D10" s="7" t="str">
        <f t="shared" si="0"/>
        <v/>
      </c>
      <c r="E10" s="9"/>
      <c r="F10" s="7"/>
      <c r="G10" s="7"/>
    </row>
    <row r="11" spans="1:7" ht="15" customHeight="1" x14ac:dyDescent="0.25">
      <c r="A11" s="7">
        <v>10</v>
      </c>
      <c r="B11" s="7"/>
      <c r="C11" s="7"/>
      <c r="D11" s="7" t="str">
        <f t="shared" si="0"/>
        <v/>
      </c>
      <c r="E11" s="9"/>
      <c r="F11" s="7"/>
      <c r="G11" s="7"/>
    </row>
    <row r="12" spans="1:7" ht="15" customHeight="1" x14ac:dyDescent="0.25">
      <c r="A12" s="7">
        <v>11</v>
      </c>
      <c r="B12" s="7"/>
      <c r="C12" s="7"/>
      <c r="D12" s="7" t="str">
        <f t="shared" si="0"/>
        <v/>
      </c>
      <c r="E12" s="9"/>
      <c r="F12" s="7"/>
      <c r="G12" s="7"/>
    </row>
    <row r="13" spans="1:7" ht="15" customHeight="1" x14ac:dyDescent="0.25">
      <c r="A13" s="7">
        <v>12</v>
      </c>
      <c r="B13" s="7"/>
      <c r="C13" s="7"/>
      <c r="D13" s="7" t="str">
        <f t="shared" si="0"/>
        <v/>
      </c>
      <c r="E13" s="9"/>
      <c r="F13" s="7"/>
      <c r="G13" s="7"/>
    </row>
    <row r="14" spans="1:7" ht="15" customHeight="1" x14ac:dyDescent="0.25">
      <c r="A14" s="7">
        <v>13</v>
      </c>
      <c r="B14" s="7"/>
      <c r="C14" s="7"/>
      <c r="D14" s="7" t="str">
        <f t="shared" si="0"/>
        <v/>
      </c>
      <c r="E14" s="9"/>
      <c r="F14" s="7"/>
      <c r="G14" s="7"/>
    </row>
    <row r="15" spans="1:7" ht="15" customHeight="1" x14ac:dyDescent="0.25">
      <c r="A15" s="7">
        <v>14</v>
      </c>
      <c r="B15" s="7"/>
      <c r="C15" s="7"/>
      <c r="D15" s="7" t="str">
        <f t="shared" si="0"/>
        <v/>
      </c>
      <c r="E15" s="9"/>
      <c r="F15" s="7"/>
      <c r="G15" s="7"/>
    </row>
    <row r="16" spans="1:7" ht="15" customHeight="1" x14ac:dyDescent="0.25">
      <c r="A16" s="7">
        <v>15</v>
      </c>
      <c r="B16" s="7"/>
      <c r="C16" s="7"/>
      <c r="D16" s="7" t="str">
        <f t="shared" si="0"/>
        <v/>
      </c>
      <c r="E16" s="9"/>
      <c r="F16" s="7"/>
      <c r="G16" s="7"/>
    </row>
    <row r="17" spans="1:7" ht="15" customHeight="1" x14ac:dyDescent="0.25">
      <c r="A17" s="7">
        <v>16</v>
      </c>
      <c r="B17" s="7"/>
      <c r="C17" s="7"/>
      <c r="D17" s="7" t="str">
        <f t="shared" si="0"/>
        <v/>
      </c>
      <c r="E17" s="9"/>
      <c r="F17" s="7"/>
      <c r="G17" s="7"/>
    </row>
    <row r="18" spans="1:7" ht="15" customHeight="1" x14ac:dyDescent="0.25">
      <c r="A18" s="7">
        <v>17</v>
      </c>
      <c r="B18" s="7"/>
      <c r="C18" s="7"/>
      <c r="D18" s="7" t="str">
        <f t="shared" si="0"/>
        <v/>
      </c>
      <c r="E18" s="9"/>
      <c r="F18" s="7"/>
      <c r="G18" s="7"/>
    </row>
    <row r="19" spans="1:7" ht="15" customHeight="1" x14ac:dyDescent="0.25">
      <c r="A19" s="7">
        <v>18</v>
      </c>
      <c r="B19" s="7"/>
      <c r="C19" s="7"/>
      <c r="D19" s="7" t="str">
        <f t="shared" si="0"/>
        <v/>
      </c>
      <c r="E19" s="9"/>
      <c r="F19" s="7"/>
      <c r="G19" s="7"/>
    </row>
    <row r="20" spans="1:7" ht="15" customHeight="1" x14ac:dyDescent="0.25">
      <c r="A20" s="7">
        <v>19</v>
      </c>
      <c r="B20" s="7"/>
      <c r="C20" s="7"/>
      <c r="D20" s="7" t="str">
        <f t="shared" si="0"/>
        <v/>
      </c>
      <c r="E20" s="9"/>
      <c r="F20" s="7"/>
      <c r="G20" s="7"/>
    </row>
    <row r="21" spans="1:7" ht="15" customHeight="1" x14ac:dyDescent="0.25">
      <c r="A21" s="7">
        <v>20</v>
      </c>
      <c r="B21" s="7"/>
      <c r="C21" s="7"/>
      <c r="D21" s="7"/>
      <c r="E21" s="9"/>
      <c r="F21" s="7"/>
      <c r="G21" s="7"/>
    </row>
  </sheetData>
  <printOptions horizontalCentered="1"/>
  <pageMargins left="0.25" right="0.25" top="0.75" bottom="0.75" header="0.3" footer="0.3"/>
  <pageSetup paperSize="9" scale="94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0578-8C41-475B-93E7-088BE97E51E8}">
  <dimension ref="A1:D6"/>
  <sheetViews>
    <sheetView showGridLines="0" workbookViewId="0">
      <selection activeCell="D6" sqref="D6"/>
    </sheetView>
  </sheetViews>
  <sheetFormatPr defaultColWidth="13.7109375" defaultRowHeight="15" x14ac:dyDescent="0.25"/>
  <cols>
    <col min="1" max="1" width="31.140625" style="1" customWidth="1"/>
    <col min="2" max="3" width="17.5703125" style="1" customWidth="1"/>
    <col min="4" max="16384" width="13.7109375" style="1"/>
  </cols>
  <sheetData>
    <row r="1" spans="1:4" ht="32.25" customHeight="1" x14ac:dyDescent="0.25">
      <c r="A1" s="2" t="s">
        <v>25</v>
      </c>
      <c r="B1" s="2" t="s">
        <v>26</v>
      </c>
      <c r="C1" s="2" t="s">
        <v>27</v>
      </c>
      <c r="D1" s="2" t="s">
        <v>28</v>
      </c>
    </row>
    <row r="2" spans="1:4" ht="28.5" customHeight="1" x14ac:dyDescent="0.25">
      <c r="A2" s="7" t="s">
        <v>29</v>
      </c>
      <c r="B2" s="12" t="s">
        <v>30</v>
      </c>
      <c r="C2" s="12" t="s">
        <v>31</v>
      </c>
      <c r="D2" s="7">
        <f>C2-B2</f>
        <v>15</v>
      </c>
    </row>
    <row r="3" spans="1:4" ht="28.5" customHeight="1" x14ac:dyDescent="0.25">
      <c r="A3" s="7" t="s">
        <v>32</v>
      </c>
      <c r="B3" s="12" t="s">
        <v>33</v>
      </c>
      <c r="C3" s="12" t="s">
        <v>34</v>
      </c>
      <c r="D3" s="7">
        <f>C3-B3</f>
        <v>42</v>
      </c>
    </row>
    <row r="4" spans="1:4" ht="28.5" customHeight="1" x14ac:dyDescent="0.25">
      <c r="A4" s="7" t="s">
        <v>35</v>
      </c>
      <c r="B4" s="12" t="s">
        <v>36</v>
      </c>
      <c r="C4" s="12" t="s">
        <v>37</v>
      </c>
      <c r="D4" s="7">
        <f>C4-B4</f>
        <v>21</v>
      </c>
    </row>
    <row r="5" spans="1:4" ht="28.5" customHeight="1" x14ac:dyDescent="0.25">
      <c r="A5" s="7" t="s">
        <v>38</v>
      </c>
      <c r="B5" s="12" t="s">
        <v>39</v>
      </c>
      <c r="C5" s="12" t="s">
        <v>40</v>
      </c>
      <c r="D5" s="7">
        <f>C5-B5</f>
        <v>15</v>
      </c>
    </row>
    <row r="6" spans="1:4" ht="28.5" customHeight="1" x14ac:dyDescent="0.25">
      <c r="A6" s="7" t="s">
        <v>41</v>
      </c>
      <c r="B6" s="12" t="s">
        <v>40</v>
      </c>
      <c r="C6" s="12" t="s">
        <v>42</v>
      </c>
      <c r="D6" s="7">
        <f>C6-B6</f>
        <v>24</v>
      </c>
    </row>
  </sheetData>
  <printOptions horizontalCentered="1"/>
  <pageMargins left="0.25" right="0.25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5B59-3E9B-463F-BBC5-1AADA35175ED}">
  <dimension ref="A1:J13"/>
  <sheetViews>
    <sheetView showGridLines="0" workbookViewId="0">
      <selection activeCell="A10" sqref="A10:E10"/>
    </sheetView>
  </sheetViews>
  <sheetFormatPr defaultRowHeight="18.75" x14ac:dyDescent="0.3"/>
  <cols>
    <col min="1" max="1" width="32" style="4" customWidth="1"/>
    <col min="2" max="2" width="19.28515625" style="4" customWidth="1"/>
    <col min="3" max="16384" width="9.140625" style="4"/>
  </cols>
  <sheetData>
    <row r="1" spans="1:10" ht="38.25" customHeight="1" x14ac:dyDescent="0.3">
      <c r="A1" s="5" t="s">
        <v>43</v>
      </c>
      <c r="B1" s="5"/>
      <c r="C1" s="5"/>
      <c r="D1" s="5"/>
      <c r="E1" s="5"/>
    </row>
    <row r="2" spans="1:10" ht="33" customHeight="1" x14ac:dyDescent="0.3">
      <c r="A2" s="19"/>
      <c r="B2" s="7"/>
      <c r="C2" s="19"/>
      <c r="D2" s="19"/>
      <c r="E2" s="19"/>
      <c r="F2" s="6"/>
      <c r="G2" s="6"/>
      <c r="H2" s="6"/>
    </row>
    <row r="3" spans="1:10" ht="33" customHeight="1" x14ac:dyDescent="0.3">
      <c r="A3" s="22" t="s">
        <v>44</v>
      </c>
      <c r="B3" s="23">
        <f>SUM('Delay Events'!D2:D20)</f>
        <v>43</v>
      </c>
      <c r="C3" s="23"/>
      <c r="D3" s="23"/>
      <c r="E3" s="23"/>
      <c r="F3" s="6"/>
      <c r="G3" s="6"/>
      <c r="H3" s="6"/>
    </row>
    <row r="4" spans="1:10" ht="33" customHeight="1" x14ac:dyDescent="0.3">
      <c r="A4" s="22" t="s">
        <v>45</v>
      </c>
      <c r="B4" s="23" t="str">
        <f>B3 &amp; " Calendar Days"</f>
        <v>43 Calendar Days</v>
      </c>
      <c r="C4" s="23"/>
      <c r="D4" s="23"/>
      <c r="E4" s="23"/>
      <c r="F4" s="6"/>
      <c r="G4" s="6"/>
      <c r="H4" s="6"/>
    </row>
    <row r="5" spans="1:10" x14ac:dyDescent="0.3">
      <c r="A5" s="22"/>
      <c r="B5" s="23"/>
      <c r="C5" s="23"/>
      <c r="D5" s="23"/>
      <c r="E5" s="23"/>
      <c r="F5" s="6"/>
      <c r="G5" s="6"/>
      <c r="H5" s="6"/>
    </row>
    <row r="6" spans="1:10" x14ac:dyDescent="0.3">
      <c r="A6" s="22" t="s">
        <v>46</v>
      </c>
      <c r="B6" s="24" t="s">
        <v>47</v>
      </c>
      <c r="C6" s="24"/>
      <c r="D6" s="24"/>
      <c r="E6" s="24"/>
      <c r="F6" s="6"/>
      <c r="G6" s="6"/>
      <c r="H6" s="6"/>
    </row>
    <row r="7" spans="1:10" x14ac:dyDescent="0.3">
      <c r="A7" s="22" t="s">
        <v>48</v>
      </c>
      <c r="B7" s="25">
        <f ca="1">TODAY()</f>
        <v>46021</v>
      </c>
      <c r="C7" s="23"/>
      <c r="D7" s="23"/>
      <c r="E7" s="23"/>
      <c r="F7" s="6"/>
      <c r="G7" s="6"/>
      <c r="H7" s="6"/>
    </row>
    <row r="8" spans="1:10" x14ac:dyDescent="0.3">
      <c r="A8" s="19"/>
      <c r="B8" s="19"/>
      <c r="C8" s="19"/>
      <c r="D8" s="19"/>
      <c r="E8" s="19"/>
      <c r="F8" s="6"/>
      <c r="G8" s="6"/>
      <c r="H8" s="6"/>
    </row>
    <row r="9" spans="1:10" x14ac:dyDescent="0.3">
      <c r="A9" s="20" t="s">
        <v>49</v>
      </c>
      <c r="B9" s="20"/>
      <c r="C9" s="20"/>
      <c r="D9" s="20"/>
      <c r="E9" s="20"/>
      <c r="F9" s="6"/>
      <c r="G9" s="6"/>
      <c r="H9" s="6"/>
    </row>
    <row r="10" spans="1:10" x14ac:dyDescent="0.3">
      <c r="A10" s="20" t="s">
        <v>50</v>
      </c>
      <c r="B10" s="20"/>
      <c r="C10" s="20"/>
      <c r="D10" s="20"/>
      <c r="E10" s="20"/>
      <c r="F10" s="6"/>
      <c r="G10" s="6"/>
      <c r="H10" s="6"/>
    </row>
    <row r="11" spans="1:10" x14ac:dyDescent="0.3">
      <c r="A11" s="20"/>
      <c r="B11" s="20"/>
      <c r="C11" s="20"/>
      <c r="D11" s="20"/>
      <c r="E11" s="20"/>
      <c r="F11" s="6"/>
      <c r="G11" s="6"/>
      <c r="H11" s="6"/>
    </row>
    <row r="12" spans="1:10" x14ac:dyDescent="0.3">
      <c r="A12" s="20" t="s">
        <v>51</v>
      </c>
      <c r="B12" s="20"/>
      <c r="C12" s="20"/>
      <c r="D12" s="20"/>
      <c r="E12" s="20"/>
      <c r="F12" s="6"/>
      <c r="G12" s="6"/>
      <c r="H12" s="6"/>
      <c r="I12" s="6"/>
      <c r="J12" s="6"/>
    </row>
    <row r="13" spans="1:10" x14ac:dyDescent="0.3">
      <c r="A13" s="21" t="s">
        <v>52</v>
      </c>
      <c r="B13" s="21"/>
      <c r="C13" s="21"/>
      <c r="D13" s="21"/>
      <c r="E13" s="21"/>
    </row>
  </sheetData>
  <mergeCells count="7">
    <mergeCell ref="A11:E11"/>
    <mergeCell ref="A12:E12"/>
    <mergeCell ref="A13:E13"/>
    <mergeCell ref="B6:E6"/>
    <mergeCell ref="A1:E1"/>
    <mergeCell ref="A9:E9"/>
    <mergeCell ref="A10:E10"/>
  </mergeCells>
  <printOptions horizontalCentered="1"/>
  <pageMargins left="0.25" right="0.25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0C47-D70A-4A2D-8EDA-95F4E34F8197}">
  <sheetPr>
    <tabColor rgb="FFFFFF00"/>
  </sheetPr>
  <dimension ref="A1"/>
  <sheetViews>
    <sheetView workbookViewId="0">
      <selection activeCell="F9" sqref="F9"/>
    </sheetView>
  </sheetViews>
  <sheetFormatPr defaultRowHeight="15" x14ac:dyDescent="0.25"/>
  <sheetData>
    <row r="1" spans="1:1" ht="28.5" customHeight="1" x14ac:dyDescent="0.25">
      <c r="A1" s="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Delay Events</vt:lpstr>
      <vt:lpstr>Program Snapshot</vt:lpstr>
      <vt:lpstr>Claim Summary</vt:lpstr>
      <vt:lpstr>User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Mousavi</dc:creator>
  <cp:lastModifiedBy>Behzad Mousavi</cp:lastModifiedBy>
  <cp:lastPrinted>2025-12-30T07:03:13Z</cp:lastPrinted>
  <dcterms:created xsi:type="dcterms:W3CDTF">2015-06-05T18:17:20Z</dcterms:created>
  <dcterms:modified xsi:type="dcterms:W3CDTF">2025-12-30T07:06:06Z</dcterms:modified>
</cp:coreProperties>
</file>